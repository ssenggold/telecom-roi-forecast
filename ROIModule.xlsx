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ven\OneDrive\Documents\"/>
    </mc:Choice>
  </mc:AlternateContent>
  <xr:revisionPtr revIDLastSave="0" documentId="8_{C9C05818-FE34-4F01-9D23-F3AD4CB256DA}" xr6:coauthVersionLast="47" xr6:coauthVersionMax="47" xr10:uidLastSave="{00000000-0000-0000-0000-000000000000}"/>
  <bookViews>
    <workbookView xWindow="-108" yWindow="-108" windowWidth="23256" windowHeight="12456" firstSheet="1" activeTab="4" xr2:uid="{208CBD52-3389-45EA-8DF5-8546316AB37C}"/>
  </bookViews>
  <sheets>
    <sheet name="CAPEX Summary" sheetId="1" r:id="rId1"/>
    <sheet name="OPEX Summary" sheetId="2" r:id="rId2"/>
    <sheet name="Customer Base" sheetId="3" r:id="rId3"/>
    <sheet name="Customer Revenue" sheetId="4" r:id="rId4"/>
    <sheet name="ROI Foreca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" i="5"/>
  <c r="B5" i="3"/>
  <c r="B10" i="4"/>
  <c r="B9" i="4"/>
  <c r="B7" i="4"/>
  <c r="B6" i="4"/>
  <c r="B3" i="3"/>
  <c r="B2" i="3"/>
  <c r="B1" i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2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2" i="5"/>
  <c r="B3" i="5"/>
  <c r="B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tc={BB6A327B-3BE7-43B3-A63E-053213310E53}</author>
  </authors>
  <commentList>
    <comment ref="B2" authorId="0" shapeId="0" xr:uid="{BB6A327B-3BE7-43B3-A63E-053213310E53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profit</t>
      </text>
    </comment>
  </commentList>
</comments>
</file>

<file path=xl/sharedStrings.xml><?xml version="1.0" encoding="utf-8"?>
<sst xmlns="http://schemas.openxmlformats.org/spreadsheetml/2006/main" count="36" uniqueCount="31">
  <si>
    <t>Infrastructure Investment (CAPEX)</t>
  </si>
  <si>
    <t>Component Cost (USD)</t>
  </si>
  <si>
    <t>Cost (USD)</t>
  </si>
  <si>
    <t>GPON Transport</t>
  </si>
  <si>
    <t>GPON Drop/CPE</t>
  </si>
  <si>
    <t>Internet Gateway Firewall</t>
  </si>
  <si>
    <t>IPTV Channels &amp; Contents</t>
  </si>
  <si>
    <t>IPTV Contents</t>
  </si>
  <si>
    <t>IPPhone/Softswitch Service</t>
  </si>
  <si>
    <t>Interconnection</t>
  </si>
  <si>
    <t xml:space="preserve">Monitoring &amp; Exploitation </t>
  </si>
  <si>
    <t>Monthly Operating Expenses</t>
  </si>
  <si>
    <t>Component</t>
  </si>
  <si>
    <t>Monthly Cost (USD)</t>
  </si>
  <si>
    <t>Internet</t>
  </si>
  <si>
    <t>Licenses &amp; Support</t>
  </si>
  <si>
    <t>CRM &amp; Billing</t>
  </si>
  <si>
    <t>Customer Type</t>
  </si>
  <si>
    <t>B2C (Residential)</t>
  </si>
  <si>
    <t>B2B (Business)</t>
  </si>
  <si>
    <t>Customers</t>
  </si>
  <si>
    <t>Avg Monthly Revenue Per User</t>
  </si>
  <si>
    <t>Monthly Revenue</t>
  </si>
  <si>
    <t>Total Monthly Revenue</t>
  </si>
  <si>
    <t>Month</t>
  </si>
  <si>
    <t>Cumulative Profit</t>
  </si>
  <si>
    <t>Break-Even Status</t>
  </si>
  <si>
    <t>Total Customers</t>
  </si>
  <si>
    <t>B2B(Business)</t>
  </si>
  <si>
    <t xml:space="preserve"> Monthly Profit (Revenue -OPEX)</t>
  </si>
  <si>
    <t>Break-Even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</si>
</sst>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0" fontId="0" fillId="0" borderId="0" xfId="0" quotePrefix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Profit &amp; Break-Even Forecast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'ROI Forecast'!$B$1</c:f>
              <c:strCache>
                <c:ptCount val="1"/>
                <c:pt idx="0">
                  <c:v>Cumulative Profit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'ROI Forecast'!$A$2:$A$37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'ROI Forecast'!$B$2:$B$37</c:f>
              <c:numCache>
                <c:formatCode>General</c:formatCode>
                <c:ptCount val="36"/>
                <c:pt idx="0">
                  <c:v>694000</c:v>
                </c:pt>
                <c:pt idx="1">
                  <c:v>1388000</c:v>
                </c:pt>
                <c:pt idx="2">
                  <c:v>2082000</c:v>
                </c:pt>
                <c:pt idx="3">
                  <c:v>2776000</c:v>
                </c:pt>
                <c:pt idx="4">
                  <c:v>3470000</c:v>
                </c:pt>
                <c:pt idx="5">
                  <c:v>4164000</c:v>
                </c:pt>
                <c:pt idx="6">
                  <c:v>4858000</c:v>
                </c:pt>
                <c:pt idx="7">
                  <c:v>5552000</c:v>
                </c:pt>
                <c:pt idx="8">
                  <c:v>6246000</c:v>
                </c:pt>
                <c:pt idx="9">
                  <c:v>6940000</c:v>
                </c:pt>
                <c:pt idx="10">
                  <c:v>7634000</c:v>
                </c:pt>
                <c:pt idx="11">
                  <c:v>8328000</c:v>
                </c:pt>
                <c:pt idx="12">
                  <c:v>9022000</c:v>
                </c:pt>
                <c:pt idx="13">
                  <c:v>9716000</c:v>
                </c:pt>
                <c:pt idx="14">
                  <c:v>10410000</c:v>
                </c:pt>
                <c:pt idx="15">
                  <c:v>11104000</c:v>
                </c:pt>
                <c:pt idx="16">
                  <c:v>11798000</c:v>
                </c:pt>
                <c:pt idx="17">
                  <c:v>12492000</c:v>
                </c:pt>
                <c:pt idx="18">
                  <c:v>13186000</c:v>
                </c:pt>
                <c:pt idx="19">
                  <c:v>13880000</c:v>
                </c:pt>
                <c:pt idx="20">
                  <c:v>14574000</c:v>
                </c:pt>
                <c:pt idx="21">
                  <c:v>15268000</c:v>
                </c:pt>
                <c:pt idx="22">
                  <c:v>15962000</c:v>
                </c:pt>
                <c:pt idx="23">
                  <c:v>16656000</c:v>
                </c:pt>
                <c:pt idx="24">
                  <c:v>17350000</c:v>
                </c:pt>
                <c:pt idx="25">
                  <c:v>18044000</c:v>
                </c:pt>
                <c:pt idx="26">
                  <c:v>18738000</c:v>
                </c:pt>
                <c:pt idx="27">
                  <c:v>19432000</c:v>
                </c:pt>
                <c:pt idx="28">
                  <c:v>20126000</c:v>
                </c:pt>
                <c:pt idx="29">
                  <c:v>20820000</c:v>
                </c:pt>
                <c:pt idx="30">
                  <c:v>21514000</c:v>
                </c:pt>
                <c:pt idx="31">
                  <c:v>22208000</c:v>
                </c:pt>
                <c:pt idx="32">
                  <c:v>22902000</c:v>
                </c:pt>
                <c:pt idx="33">
                  <c:v>23596000</c:v>
                </c:pt>
                <c:pt idx="34">
                  <c:v>24290000</c:v>
                </c:pt>
                <c:pt idx="35">
                  <c:v>24984000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AD-42BD-A3C4-784DE1CC159F}"/>
            </c:ext>
          </c:extLst>
        </c:ser>
        <c:ser>
          <c:idx val="0"/>
          <c:order val="1"/>
          <c:tx>
            <c:v>Break-Even Target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'ROI Forecast'!$D$2:$D$37</c:f>
              <c:numCache>
                <c:formatCode>General</c:formatCode>
                <c:ptCount val="36"/>
                <c:pt idx="0">
                  <c:v>5801950</c:v>
                </c:pt>
                <c:pt idx="1">
                  <c:v>5801950</c:v>
                </c:pt>
                <c:pt idx="2">
                  <c:v>5801950</c:v>
                </c:pt>
                <c:pt idx="3">
                  <c:v>5801950</c:v>
                </c:pt>
                <c:pt idx="4">
                  <c:v>5801950</c:v>
                </c:pt>
                <c:pt idx="5">
                  <c:v>5801950</c:v>
                </c:pt>
                <c:pt idx="6">
                  <c:v>5801950</c:v>
                </c:pt>
                <c:pt idx="7">
                  <c:v>5801950</c:v>
                </c:pt>
                <c:pt idx="8">
                  <c:v>5801950</c:v>
                </c:pt>
                <c:pt idx="9">
                  <c:v>5801950</c:v>
                </c:pt>
                <c:pt idx="10">
                  <c:v>5801950</c:v>
                </c:pt>
                <c:pt idx="11">
                  <c:v>5801950</c:v>
                </c:pt>
                <c:pt idx="12">
                  <c:v>5801950</c:v>
                </c:pt>
                <c:pt idx="13">
                  <c:v>5801950</c:v>
                </c:pt>
                <c:pt idx="14">
                  <c:v>5801950</c:v>
                </c:pt>
                <c:pt idx="15">
                  <c:v>5801950</c:v>
                </c:pt>
                <c:pt idx="16">
                  <c:v>5801950</c:v>
                </c:pt>
                <c:pt idx="17">
                  <c:v>5801950</c:v>
                </c:pt>
                <c:pt idx="18">
                  <c:v>5801950</c:v>
                </c:pt>
                <c:pt idx="19">
                  <c:v>5801950</c:v>
                </c:pt>
                <c:pt idx="20">
                  <c:v>5801950</c:v>
                </c:pt>
                <c:pt idx="21">
                  <c:v>5801950</c:v>
                </c:pt>
                <c:pt idx="22">
                  <c:v>5801950</c:v>
                </c:pt>
                <c:pt idx="23">
                  <c:v>5801950</c:v>
                </c:pt>
                <c:pt idx="24">
                  <c:v>5801950</c:v>
                </c:pt>
                <c:pt idx="25">
                  <c:v>5801950</c:v>
                </c:pt>
                <c:pt idx="26">
                  <c:v>5801950</c:v>
                </c:pt>
                <c:pt idx="27">
                  <c:v>5801950</c:v>
                </c:pt>
                <c:pt idx="28">
                  <c:v>5801950</c:v>
                </c:pt>
                <c:pt idx="29">
                  <c:v>5801950</c:v>
                </c:pt>
                <c:pt idx="30">
                  <c:v>5801950</c:v>
                </c:pt>
                <c:pt idx="31">
                  <c:v>5801950</c:v>
                </c:pt>
                <c:pt idx="32">
                  <c:v>5801950</c:v>
                </c:pt>
                <c:pt idx="33">
                  <c:v>5801950</c:v>
                </c:pt>
                <c:pt idx="34">
                  <c:v>5801950</c:v>
                </c:pt>
                <c:pt idx="35">
                  <c:v>5801950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AD-42BD-A3C4-784DE1CC1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951712"/>
        <c:axId val="136960352"/>
      </c:lineChart>
      <c:catAx>
        <c:axId val="1369517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60352"/>
        <c:crosses val="autoZero"/>
        <c:auto val="1"/>
        <c:lblAlgn val="ctr"/>
        <c:lblOffset val="100"/>
        <c:noMultiLvlLbl val="0"/>
      </c:catAx>
      <c:valAx>
        <c:axId val="1369603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5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16</xdr:row>
      <xdr:rowOff>80010</xdr:rowOff>
    </xdr:from>
    <xdr:to>
      <xdr:col>12</xdr:col>
      <xdr:colOff>60960</xdr:colOff>
      <xdr:row>31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08323A-14E8-3218-FD25-9C1F4785F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teven Senga" id="{D6332D0F-4173-432E-9C88-9656E65871BE}" userId="2f27ab210b4a7ac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8-04T19:15:32.89" personId="{D6332D0F-4173-432E-9C88-9656E65871BE}" id="{BB6A327B-3BE7-43B3-A63E-053213310E53}">
    <text>Monthly profit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1047-DCDB-42A2-8D89-E3421683F6B0}">
  <dimension ref="A1:B11"/>
  <sheetViews>
    <sheetView workbookViewId="0">
      <selection activeCell="C8" sqref="C8"/>
    </sheetView>
  </sheetViews>
  <sheetFormatPr defaultRowHeight="14.4" x14ac:dyDescent="0.3"/>
  <cols>
    <col min="1" max="1" width="27.77734375" customWidth="1"/>
    <col min="2" max="2" width="17.6640625" customWidth="1"/>
  </cols>
  <sheetData>
    <row r="1" spans="1:2" x14ac:dyDescent="0.3">
      <c r="A1" t="s">
        <v>0</v>
      </c>
      <c r="B1" s="1">
        <f>5801950</f>
        <v>5801950</v>
      </c>
    </row>
    <row r="2" spans="1:2" x14ac:dyDescent="0.3">
      <c r="B2" s="1"/>
    </row>
    <row r="3" spans="1:2" x14ac:dyDescent="0.3">
      <c r="A3" t="s">
        <v>1</v>
      </c>
      <c r="B3" s="1" t="s">
        <v>2</v>
      </c>
    </row>
    <row r="4" spans="1:2" x14ac:dyDescent="0.3">
      <c r="A4" t="s">
        <v>3</v>
      </c>
      <c r="B4" s="1">
        <v>1609450</v>
      </c>
    </row>
    <row r="5" spans="1:2" x14ac:dyDescent="0.3">
      <c r="A5" t="s">
        <v>4</v>
      </c>
      <c r="B5" s="1">
        <v>1122500</v>
      </c>
    </row>
    <row r="6" spans="1:2" x14ac:dyDescent="0.3">
      <c r="A6" t="s">
        <v>5</v>
      </c>
      <c r="B6" s="1">
        <v>9000</v>
      </c>
    </row>
    <row r="7" spans="1:2" x14ac:dyDescent="0.3">
      <c r="A7" t="s">
        <v>6</v>
      </c>
      <c r="B7" s="1">
        <v>530000</v>
      </c>
    </row>
    <row r="8" spans="1:2" x14ac:dyDescent="0.3">
      <c r="A8" t="s">
        <v>7</v>
      </c>
      <c r="B8" s="1">
        <v>1600000</v>
      </c>
    </row>
    <row r="9" spans="1:2" x14ac:dyDescent="0.3">
      <c r="A9" t="s">
        <v>8</v>
      </c>
      <c r="B9" s="1">
        <v>300000</v>
      </c>
    </row>
    <row r="10" spans="1:2" x14ac:dyDescent="0.3">
      <c r="A10" t="s">
        <v>9</v>
      </c>
      <c r="B10" s="1">
        <v>400000</v>
      </c>
    </row>
    <row r="11" spans="1:2" x14ac:dyDescent="0.3">
      <c r="A11" t="s">
        <v>10</v>
      </c>
      <c r="B11" s="1">
        <v>150000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8D00-F813-4418-9C6E-89762FDE79AA}">
  <dimension ref="A1:B6"/>
  <sheetViews>
    <sheetView workbookViewId="0">
      <selection activeCell="A7" sqref="A7"/>
    </sheetView>
  </sheetViews>
  <sheetFormatPr defaultRowHeight="14.4" x14ac:dyDescent="0.3"/>
  <cols>
    <col min="1" max="1" width="23.21875" customWidth="1"/>
    <col min="2" max="2" width="17.6640625" style="1" customWidth="1"/>
    <col min="3" max="3" width="17.6640625" customWidth="1"/>
  </cols>
  <sheetData>
    <row r="1" spans="1:2" x14ac:dyDescent="0.3">
      <c r="A1" t="s">
        <v>11</v>
      </c>
      <c r="B1" s="1">
        <f>431000</f>
        <v>431000</v>
      </c>
    </row>
    <row r="3" spans="1:2" x14ac:dyDescent="0.3">
      <c r="A3" t="s">
        <v>12</v>
      </c>
      <c r="B3" s="1" t="s">
        <v>13</v>
      </c>
    </row>
    <row r="4" spans="1:2" x14ac:dyDescent="0.3">
      <c r="A4" t="s">
        <v>14</v>
      </c>
      <c r="B4" s="1">
        <v>400000</v>
      </c>
    </row>
    <row r="5" spans="1:2" x14ac:dyDescent="0.3">
      <c r="A5" t="s">
        <v>15</v>
      </c>
      <c r="B5" s="1">
        <v>19000</v>
      </c>
    </row>
    <row r="6" spans="1:2" x14ac:dyDescent="0.3">
      <c r="A6" t="s">
        <v>16</v>
      </c>
      <c r="B6" s="1">
        <v>12000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A3290-EA8C-45DA-9788-AF2BA1472F5F}">
  <dimension ref="A1:B5"/>
  <sheetViews>
    <sheetView workbookViewId="0">
      <selection activeCell="B6" sqref="B6"/>
    </sheetView>
  </sheetViews>
  <sheetFormatPr defaultRowHeight="14.4" x14ac:dyDescent="0.3"/>
  <cols>
    <col min="1" max="1" width="28.44140625" bestFit="1" customWidth="1"/>
    <col min="2" max="2" width="13.88671875" style="1" bestFit="1" customWidth="1"/>
  </cols>
  <sheetData>
    <row r="1" spans="1:2" x14ac:dyDescent="0.3">
      <c r="A1" t="s">
        <v>17</v>
      </c>
      <c r="B1" t="s">
        <v>20</v>
      </c>
    </row>
    <row r="2" spans="1:2" x14ac:dyDescent="0.3">
      <c r="A2" t="s">
        <v>18</v>
      </c>
      <c r="B2">
        <f>45000</f>
        <v>45000</v>
      </c>
    </row>
    <row r="3" spans="1:2" x14ac:dyDescent="0.3">
      <c r="A3" t="s">
        <v>19</v>
      </c>
      <c r="B3">
        <f>5000</f>
        <v>5000</v>
      </c>
    </row>
    <row r="5" spans="1:2" x14ac:dyDescent="0.3">
      <c r="A5" t="s">
        <v>27</v>
      </c>
      <c r="B5" s="1">
        <f>SUM(B2:B3)</f>
        <v>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64F8-1EDA-4DA0-8FDF-BE9D3DEC89DA}">
  <dimension ref="A1:B10"/>
  <sheetViews>
    <sheetView workbookViewId="0">
      <selection activeCell="A11" sqref="A11"/>
    </sheetView>
  </sheetViews>
  <sheetFormatPr defaultRowHeight="14.4" x14ac:dyDescent="0.3"/>
  <cols>
    <col min="1" max="1" width="25.77734375" customWidth="1"/>
    <col min="2" max="2" width="24.5546875" customWidth="1"/>
  </cols>
  <sheetData>
    <row r="1" spans="1:2" x14ac:dyDescent="0.3">
      <c r="A1" t="s">
        <v>17</v>
      </c>
      <c r="B1" t="s">
        <v>21</v>
      </c>
    </row>
    <row r="2" spans="1:2" x14ac:dyDescent="0.3">
      <c r="A2" t="s">
        <v>18</v>
      </c>
      <c r="B2">
        <v>15</v>
      </c>
    </row>
    <row r="3" spans="1:2" x14ac:dyDescent="0.3">
      <c r="A3" t="s">
        <v>19</v>
      </c>
      <c r="B3">
        <v>90</v>
      </c>
    </row>
    <row r="5" spans="1:2" x14ac:dyDescent="0.3">
      <c r="A5" t="s">
        <v>17</v>
      </c>
      <c r="B5" t="s">
        <v>22</v>
      </c>
    </row>
    <row r="6" spans="1:2" x14ac:dyDescent="0.3">
      <c r="A6" t="s">
        <v>18</v>
      </c>
      <c r="B6">
        <f xml:space="preserve"> 45000*15</f>
        <v>675000</v>
      </c>
    </row>
    <row r="7" spans="1:2" x14ac:dyDescent="0.3">
      <c r="A7" t="s">
        <v>28</v>
      </c>
      <c r="B7">
        <f>5000*90</f>
        <v>450000</v>
      </c>
    </row>
    <row r="9" spans="1:2" x14ac:dyDescent="0.3">
      <c r="A9" t="s">
        <v>23</v>
      </c>
      <c r="B9">
        <f>SUM(B6:B7)</f>
        <v>1125000</v>
      </c>
    </row>
    <row r="10" spans="1:2" x14ac:dyDescent="0.3">
      <c r="A10" t="s">
        <v>29</v>
      </c>
      <c r="B10">
        <f>B9 - 431000</f>
        <v>694000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07367-9054-45E8-A190-FE5E04C8BB28}">
  <dimension ref="A1:D37"/>
  <sheetViews>
    <sheetView tabSelected="1" topLeftCell="A12" workbookViewId="0">
      <selection activeCell="H38" sqref="H38"/>
    </sheetView>
  </sheetViews>
  <sheetFormatPr defaultRowHeight="14.4" x14ac:dyDescent="0.3"/>
  <cols>
    <col min="2" max="2" width="19.88671875" customWidth="1"/>
    <col min="3" max="3" width="17" customWidth="1"/>
  </cols>
  <sheetData>
    <row r="1" spans="1:4" x14ac:dyDescent="0.3">
      <c r="A1" t="s">
        <v>24</v>
      </c>
      <c r="B1" t="s">
        <v>25</v>
      </c>
      <c r="C1" t="s">
        <v>26</v>
      </c>
      <c r="D1" t="s">
        <v>30</v>
      </c>
    </row>
    <row r="2" spans="1:4" x14ac:dyDescent="0.3">
      <c r="A2">
        <v>1</v>
      </c>
      <c r="B2" s="2">
        <f>694000</f>
        <v>694000</v>
      </c>
      <c r="C2" t="str">
        <f>IF(B2&gt;=5801950,"Break-Even","Not Yet")</f>
        <v>Not Yet</v>
      </c>
      <c r="D2">
        <v>5801950</v>
      </c>
    </row>
    <row r="3" spans="1:4" x14ac:dyDescent="0.3">
      <c r="A3">
        <f>A2+1</f>
        <v>2</v>
      </c>
      <c r="B3">
        <f>B2+694000</f>
        <v>1388000</v>
      </c>
      <c r="C3" t="str">
        <f t="shared" ref="C3:C37" si="0">IF(B3&gt;=5801950,"Break-Even","Not Yet")</f>
        <v>Not Yet</v>
      </c>
      <c r="D3">
        <v>5801950</v>
      </c>
    </row>
    <row r="4" spans="1:4" x14ac:dyDescent="0.3">
      <c r="A4">
        <f t="shared" ref="A4:A37" si="1">A3+1</f>
        <v>3</v>
      </c>
      <c r="B4">
        <f t="shared" ref="B4:B37" si="2">B3+694000</f>
        <v>2082000</v>
      </c>
      <c r="C4" t="str">
        <f t="shared" si="0"/>
        <v>Not Yet</v>
      </c>
      <c r="D4">
        <v>5801950</v>
      </c>
    </row>
    <row r="5" spans="1:4" x14ac:dyDescent="0.3">
      <c r="A5">
        <f t="shared" si="1"/>
        <v>4</v>
      </c>
      <c r="B5">
        <f t="shared" si="2"/>
        <v>2776000</v>
      </c>
      <c r="C5" t="str">
        <f t="shared" si="0"/>
        <v>Not Yet</v>
      </c>
      <c r="D5">
        <v>5801950</v>
      </c>
    </row>
    <row r="6" spans="1:4" x14ac:dyDescent="0.3">
      <c r="A6">
        <f t="shared" si="1"/>
        <v>5</v>
      </c>
      <c r="B6">
        <f t="shared" si="2"/>
        <v>3470000</v>
      </c>
      <c r="C6" t="str">
        <f t="shared" si="0"/>
        <v>Not Yet</v>
      </c>
      <c r="D6">
        <v>5801950</v>
      </c>
    </row>
    <row r="7" spans="1:4" x14ac:dyDescent="0.3">
      <c r="A7">
        <f t="shared" si="1"/>
        <v>6</v>
      </c>
      <c r="B7">
        <f t="shared" si="2"/>
        <v>4164000</v>
      </c>
      <c r="C7" t="str">
        <f t="shared" si="0"/>
        <v>Not Yet</v>
      </c>
      <c r="D7">
        <v>5801950</v>
      </c>
    </row>
    <row r="8" spans="1:4" x14ac:dyDescent="0.3">
      <c r="A8">
        <f t="shared" si="1"/>
        <v>7</v>
      </c>
      <c r="B8">
        <f t="shared" si="2"/>
        <v>4858000</v>
      </c>
      <c r="C8" t="str">
        <f t="shared" si="0"/>
        <v>Not Yet</v>
      </c>
      <c r="D8">
        <v>5801950</v>
      </c>
    </row>
    <row r="9" spans="1:4" x14ac:dyDescent="0.3">
      <c r="A9">
        <f t="shared" si="1"/>
        <v>8</v>
      </c>
      <c r="B9">
        <f t="shared" si="2"/>
        <v>5552000</v>
      </c>
      <c r="C9" t="str">
        <f t="shared" si="0"/>
        <v>Not Yet</v>
      </c>
      <c r="D9">
        <v>5801950</v>
      </c>
    </row>
    <row r="10" spans="1:4" x14ac:dyDescent="0.3">
      <c r="A10">
        <f t="shared" si="1"/>
        <v>9</v>
      </c>
      <c r="B10">
        <f t="shared" si="2"/>
        <v>6246000</v>
      </c>
      <c r="C10" t="str">
        <f t="shared" si="0"/>
        <v>Break-Even</v>
      </c>
      <c r="D10">
        <v>5801950</v>
      </c>
    </row>
    <row r="11" spans="1:4" x14ac:dyDescent="0.3">
      <c r="A11">
        <f t="shared" si="1"/>
        <v>10</v>
      </c>
      <c r="B11">
        <f t="shared" si="2"/>
        <v>6940000</v>
      </c>
      <c r="C11" t="str">
        <f t="shared" si="0"/>
        <v>Break-Even</v>
      </c>
      <c r="D11">
        <v>5801950</v>
      </c>
    </row>
    <row r="12" spans="1:4" x14ac:dyDescent="0.3">
      <c r="A12">
        <f t="shared" si="1"/>
        <v>11</v>
      </c>
      <c r="B12">
        <f t="shared" si="2"/>
        <v>7634000</v>
      </c>
      <c r="C12" t="str">
        <f t="shared" si="0"/>
        <v>Break-Even</v>
      </c>
      <c r="D12">
        <v>5801950</v>
      </c>
    </row>
    <row r="13" spans="1:4" x14ac:dyDescent="0.3">
      <c r="A13">
        <f t="shared" si="1"/>
        <v>12</v>
      </c>
      <c r="B13">
        <f t="shared" si="2"/>
        <v>8328000</v>
      </c>
      <c r="C13" t="str">
        <f t="shared" si="0"/>
        <v>Break-Even</v>
      </c>
      <c r="D13">
        <v>5801950</v>
      </c>
    </row>
    <row r="14" spans="1:4" x14ac:dyDescent="0.3">
      <c r="A14">
        <f t="shared" si="1"/>
        <v>13</v>
      </c>
      <c r="B14">
        <f t="shared" si="2"/>
        <v>9022000</v>
      </c>
      <c r="C14" t="str">
        <f t="shared" si="0"/>
        <v>Break-Even</v>
      </c>
      <c r="D14">
        <v>5801950</v>
      </c>
    </row>
    <row r="15" spans="1:4" x14ac:dyDescent="0.3">
      <c r="A15">
        <f t="shared" si="1"/>
        <v>14</v>
      </c>
      <c r="B15">
        <f t="shared" si="2"/>
        <v>9716000</v>
      </c>
      <c r="C15" t="str">
        <f t="shared" si="0"/>
        <v>Break-Even</v>
      </c>
      <c r="D15">
        <v>5801950</v>
      </c>
    </row>
    <row r="16" spans="1:4" x14ac:dyDescent="0.3">
      <c r="A16">
        <f t="shared" si="1"/>
        <v>15</v>
      </c>
      <c r="B16">
        <f t="shared" si="2"/>
        <v>10410000</v>
      </c>
      <c r="C16" t="str">
        <f t="shared" si="0"/>
        <v>Break-Even</v>
      </c>
      <c r="D16">
        <v>5801950</v>
      </c>
    </row>
    <row r="17" spans="1:4" x14ac:dyDescent="0.3">
      <c r="A17">
        <f t="shared" si="1"/>
        <v>16</v>
      </c>
      <c r="B17">
        <f t="shared" si="2"/>
        <v>11104000</v>
      </c>
      <c r="C17" t="str">
        <f t="shared" si="0"/>
        <v>Break-Even</v>
      </c>
      <c r="D17">
        <v>5801950</v>
      </c>
    </row>
    <row r="18" spans="1:4" x14ac:dyDescent="0.3">
      <c r="A18">
        <f t="shared" si="1"/>
        <v>17</v>
      </c>
      <c r="B18">
        <f t="shared" si="2"/>
        <v>11798000</v>
      </c>
      <c r="C18" t="str">
        <f t="shared" si="0"/>
        <v>Break-Even</v>
      </c>
      <c r="D18">
        <v>5801950</v>
      </c>
    </row>
    <row r="19" spans="1:4" x14ac:dyDescent="0.3">
      <c r="A19">
        <f t="shared" si="1"/>
        <v>18</v>
      </c>
      <c r="B19">
        <f t="shared" si="2"/>
        <v>12492000</v>
      </c>
      <c r="C19" t="str">
        <f t="shared" si="0"/>
        <v>Break-Even</v>
      </c>
      <c r="D19">
        <v>5801950</v>
      </c>
    </row>
    <row r="20" spans="1:4" x14ac:dyDescent="0.3">
      <c r="A20">
        <f t="shared" si="1"/>
        <v>19</v>
      </c>
      <c r="B20">
        <f t="shared" si="2"/>
        <v>13186000</v>
      </c>
      <c r="C20" t="str">
        <f t="shared" si="0"/>
        <v>Break-Even</v>
      </c>
      <c r="D20">
        <v>5801950</v>
      </c>
    </row>
    <row r="21" spans="1:4" x14ac:dyDescent="0.3">
      <c r="A21">
        <f t="shared" si="1"/>
        <v>20</v>
      </c>
      <c r="B21">
        <f t="shared" si="2"/>
        <v>13880000</v>
      </c>
      <c r="C21" t="str">
        <f t="shared" si="0"/>
        <v>Break-Even</v>
      </c>
      <c r="D21">
        <v>5801950</v>
      </c>
    </row>
    <row r="22" spans="1:4" x14ac:dyDescent="0.3">
      <c r="A22">
        <f t="shared" si="1"/>
        <v>21</v>
      </c>
      <c r="B22">
        <f t="shared" si="2"/>
        <v>14574000</v>
      </c>
      <c r="C22" t="str">
        <f t="shared" si="0"/>
        <v>Break-Even</v>
      </c>
      <c r="D22">
        <v>5801950</v>
      </c>
    </row>
    <row r="23" spans="1:4" x14ac:dyDescent="0.3">
      <c r="A23">
        <f t="shared" si="1"/>
        <v>22</v>
      </c>
      <c r="B23">
        <f t="shared" si="2"/>
        <v>15268000</v>
      </c>
      <c r="C23" t="str">
        <f t="shared" si="0"/>
        <v>Break-Even</v>
      </c>
      <c r="D23">
        <v>5801950</v>
      </c>
    </row>
    <row r="24" spans="1:4" x14ac:dyDescent="0.3">
      <c r="A24">
        <f t="shared" si="1"/>
        <v>23</v>
      </c>
      <c r="B24">
        <f t="shared" si="2"/>
        <v>15962000</v>
      </c>
      <c r="C24" t="str">
        <f t="shared" si="0"/>
        <v>Break-Even</v>
      </c>
      <c r="D24">
        <v>5801950</v>
      </c>
    </row>
    <row r="25" spans="1:4" x14ac:dyDescent="0.3">
      <c r="A25">
        <f t="shared" si="1"/>
        <v>24</v>
      </c>
      <c r="B25">
        <f t="shared" si="2"/>
        <v>16656000</v>
      </c>
      <c r="C25" t="str">
        <f t="shared" si="0"/>
        <v>Break-Even</v>
      </c>
      <c r="D25">
        <v>5801950</v>
      </c>
    </row>
    <row r="26" spans="1:4" x14ac:dyDescent="0.3">
      <c r="A26">
        <f t="shared" si="1"/>
        <v>25</v>
      </c>
      <c r="B26">
        <f t="shared" si="2"/>
        <v>17350000</v>
      </c>
      <c r="C26" t="str">
        <f t="shared" si="0"/>
        <v>Break-Even</v>
      </c>
      <c r="D26">
        <v>5801950</v>
      </c>
    </row>
    <row r="27" spans="1:4" x14ac:dyDescent="0.3">
      <c r="A27">
        <f t="shared" si="1"/>
        <v>26</v>
      </c>
      <c r="B27">
        <f t="shared" si="2"/>
        <v>18044000</v>
      </c>
      <c r="C27" t="str">
        <f t="shared" si="0"/>
        <v>Break-Even</v>
      </c>
      <c r="D27">
        <v>5801950</v>
      </c>
    </row>
    <row r="28" spans="1:4" x14ac:dyDescent="0.3">
      <c r="A28">
        <f t="shared" si="1"/>
        <v>27</v>
      </c>
      <c r="B28">
        <f t="shared" si="2"/>
        <v>18738000</v>
      </c>
      <c r="C28" t="str">
        <f t="shared" si="0"/>
        <v>Break-Even</v>
      </c>
      <c r="D28">
        <v>5801950</v>
      </c>
    </row>
    <row r="29" spans="1:4" x14ac:dyDescent="0.3">
      <c r="A29">
        <f t="shared" si="1"/>
        <v>28</v>
      </c>
      <c r="B29">
        <f t="shared" si="2"/>
        <v>19432000</v>
      </c>
      <c r="C29" t="str">
        <f t="shared" si="0"/>
        <v>Break-Even</v>
      </c>
      <c r="D29">
        <v>5801950</v>
      </c>
    </row>
    <row r="30" spans="1:4" x14ac:dyDescent="0.3">
      <c r="A30">
        <f t="shared" si="1"/>
        <v>29</v>
      </c>
      <c r="B30">
        <f t="shared" si="2"/>
        <v>20126000</v>
      </c>
      <c r="C30" t="str">
        <f t="shared" si="0"/>
        <v>Break-Even</v>
      </c>
      <c r="D30">
        <v>5801950</v>
      </c>
    </row>
    <row r="31" spans="1:4" x14ac:dyDescent="0.3">
      <c r="A31">
        <f t="shared" si="1"/>
        <v>30</v>
      </c>
      <c r="B31">
        <f t="shared" si="2"/>
        <v>20820000</v>
      </c>
      <c r="C31" t="str">
        <f t="shared" si="0"/>
        <v>Break-Even</v>
      </c>
      <c r="D31">
        <v>5801950</v>
      </c>
    </row>
    <row r="32" spans="1:4" x14ac:dyDescent="0.3">
      <c r="A32">
        <f t="shared" si="1"/>
        <v>31</v>
      </c>
      <c r="B32">
        <f t="shared" si="2"/>
        <v>21514000</v>
      </c>
      <c r="C32" t="str">
        <f t="shared" si="0"/>
        <v>Break-Even</v>
      </c>
      <c r="D32">
        <v>5801950</v>
      </c>
    </row>
    <row r="33" spans="1:4" x14ac:dyDescent="0.3">
      <c r="A33">
        <f t="shared" si="1"/>
        <v>32</v>
      </c>
      <c r="B33">
        <f t="shared" si="2"/>
        <v>22208000</v>
      </c>
      <c r="C33" t="str">
        <f t="shared" si="0"/>
        <v>Break-Even</v>
      </c>
      <c r="D33">
        <v>5801950</v>
      </c>
    </row>
    <row r="34" spans="1:4" x14ac:dyDescent="0.3">
      <c r="A34">
        <f t="shared" si="1"/>
        <v>33</v>
      </c>
      <c r="B34">
        <f t="shared" si="2"/>
        <v>22902000</v>
      </c>
      <c r="C34" t="str">
        <f t="shared" si="0"/>
        <v>Break-Even</v>
      </c>
      <c r="D34">
        <v>5801950</v>
      </c>
    </row>
    <row r="35" spans="1:4" x14ac:dyDescent="0.3">
      <c r="A35">
        <f t="shared" si="1"/>
        <v>34</v>
      </c>
      <c r="B35">
        <f t="shared" si="2"/>
        <v>23596000</v>
      </c>
      <c r="C35" t="str">
        <f t="shared" si="0"/>
        <v>Break-Even</v>
      </c>
      <c r="D35">
        <v>5801950</v>
      </c>
    </row>
    <row r="36" spans="1:4" x14ac:dyDescent="0.3">
      <c r="A36">
        <f t="shared" si="1"/>
        <v>35</v>
      </c>
      <c r="B36">
        <f t="shared" si="2"/>
        <v>24290000</v>
      </c>
      <c r="C36" t="str">
        <f t="shared" si="0"/>
        <v>Break-Even</v>
      </c>
      <c r="D36">
        <v>5801950</v>
      </c>
    </row>
    <row r="37" spans="1:4" x14ac:dyDescent="0.3">
      <c r="A37">
        <f t="shared" si="1"/>
        <v>36</v>
      </c>
      <c r="B37">
        <f t="shared" si="2"/>
        <v>24984000</v>
      </c>
      <c r="C37" t="str">
        <f t="shared" si="0"/>
        <v>Break-Even</v>
      </c>
      <c r="D37">
        <v>5801950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 Summary</vt:lpstr>
      <vt:lpstr>OPEX Summary</vt:lpstr>
      <vt:lpstr>Customer Base</vt:lpstr>
      <vt:lpstr>Customer Revenue</vt:lpstr>
      <vt:lpstr>ROI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Senga</dc:creator>
  <cp:lastModifiedBy>Steven Senga</cp:lastModifiedBy>
  <dcterms:created xsi:type="dcterms:W3CDTF">2025-08-04T18:27:42Z</dcterms:created>
  <dcterms:modified xsi:type="dcterms:W3CDTF">2025-08-05T17:27:35Z</dcterms:modified>
</cp:coreProperties>
</file>